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d\OneDrive\Desktop\Projeto Integrador V-A\"/>
    </mc:Choice>
  </mc:AlternateContent>
  <xr:revisionPtr revIDLastSave="0" documentId="8_{3106DD5E-CCDF-42BB-A7C0-B99B9A1066D3}" xr6:coauthVersionLast="47" xr6:coauthVersionMax="47" xr10:uidLastSave="{00000000-0000-0000-0000-000000000000}"/>
  <bookViews>
    <workbookView xWindow="-108" yWindow="-108" windowWidth="23256" windowHeight="12456" xr2:uid="{95BA4689-AB8A-460D-97F6-1DBA152CF20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H44" i="1"/>
  <c r="H38" i="1"/>
  <c r="H39" i="1" s="1"/>
  <c r="H40" i="1" s="1"/>
  <c r="H33" i="1"/>
  <c r="H26" i="1"/>
  <c r="H4" i="1" s="1"/>
  <c r="H6" i="1" s="1"/>
  <c r="H24" i="1"/>
  <c r="H23" i="1"/>
  <c r="H20" i="1"/>
  <c r="H11" i="1"/>
  <c r="H8" i="1"/>
  <c r="H27" i="1" l="1"/>
  <c r="H5" i="1" s="1"/>
  <c r="H21" i="1"/>
</calcChain>
</file>

<file path=xl/sharedStrings.xml><?xml version="1.0" encoding="utf-8"?>
<sst xmlns="http://schemas.openxmlformats.org/spreadsheetml/2006/main" count="40" uniqueCount="39">
  <si>
    <t>INDICADORES DE 2025</t>
  </si>
  <si>
    <t>TOTAL DE PESSOAS IMPACTADAS DIRETAMENTE PELA ABEAS</t>
  </si>
  <si>
    <t>TOTAL DE PESSOAS IMPACTADAS INDIRETAMENTE PELA ABEAS</t>
  </si>
  <si>
    <t>TOTAL DE FAMILIAS BENEFICIADAS DIRETAMENTE PELA ABEAS</t>
  </si>
  <si>
    <t>TOTAL DE COLABORADORES</t>
  </si>
  <si>
    <t>TOTAL DE VOLUNTÁRIOS</t>
  </si>
  <si>
    <t xml:space="preserve">Total de pessoas atendidas DIRETAMENTE no ano (SCFV) </t>
  </si>
  <si>
    <t>Total de pessoas atendidas INDIRETAMENTE no ano (SCFV)</t>
  </si>
  <si>
    <t>Número de famílias atendidas pelo SCFV</t>
  </si>
  <si>
    <t>Número de idosos atendidos no ano (SCFV)</t>
  </si>
  <si>
    <t>Número de adultos de 18 a 59 anos atendidos no ano (SCFV)</t>
  </si>
  <si>
    <t>Número de oficinas (SCFV) realizadas durante o ano</t>
  </si>
  <si>
    <t>Número de grupos de SCFV realizados durante o ano</t>
  </si>
  <si>
    <t>Número de horas de oficinas (SCFV) realizadas durante o ano</t>
  </si>
  <si>
    <t>NÚMERO de horas de atividades dos GRUPOS (SCFV) realizados durante o ano</t>
  </si>
  <si>
    <t>NÚMERO DE HORAS DE ATIVIDADES EXTRAS REALIZADAS DURANTE O ANO (PASSEIOS, CINEMA, CULINARIA E OUTRAS)</t>
  </si>
  <si>
    <t>TOTAL DE HORAS DE ATIVIDADES DO SCFV</t>
  </si>
  <si>
    <t>Quantidade de atendimentos realizados pelo Serviço Social</t>
  </si>
  <si>
    <t>NÚMERO DE CESTAS BÁSICAS CONCEDIDAS OS BENEFICIÁRIOS DA ASSISTÊNCIA SOCIAL  (15 KG)</t>
  </si>
  <si>
    <t>QUILOS DE ALIMENTOS CONCEDIDOS OS BENEFICIÁRIOS DA ASSISTÊNCIA SOCIAL (Média 15kg/cesta)</t>
  </si>
  <si>
    <t>CONCESSÃO DE CESTAS BÁSICAS PARA ONGS PARCEIRA</t>
  </si>
  <si>
    <t>CONCESSÃO DE CESTAS BÁSICAS PARA FAMILIAS</t>
  </si>
  <si>
    <t>NUMERO DE PESSOAS DAS FAMILIAS BENEFICIADAS INDIRETAMENTE PELAS CONCESSÕES DAS CESTAS BASICAS</t>
  </si>
  <si>
    <t>NUMERO DE PESSOAS DAS INSTITUIÇÕES PARCEIRAS BENEFICIADAS INDIRETAMENTE PELAS CONCESSÕES DAS CESTAS BASICAS</t>
  </si>
  <si>
    <t>NÚMERO DE INSTITUIÇÕES PARCEIRAS BENEFICIADAS</t>
  </si>
  <si>
    <t>NÚMERO DE VOLUNTÁRIOS DA PSICOLOGIA E PSICANALISE</t>
  </si>
  <si>
    <t>NÚMERO DE VOLUNTÁRIOS ATUANDO NO SCFV</t>
  </si>
  <si>
    <t>NÚMERO DE PESSOAS ATENDIDAS PSICOLÓGICOS E PSICANÁLISE</t>
  </si>
  <si>
    <t>NÚMERO DE ATENDIMENTOS PSICOLÓGICOS E PSICANÁLISE</t>
  </si>
  <si>
    <t>CRIANÇAS/ADOLESCENTES ATENDIDOS DIRETAMENTE NA OFICINA DE JIU-JITSU</t>
  </si>
  <si>
    <t>NÚMERO DE FAMILIAS DE CRIANÇAS/ADOLESCENTES IMPACTADAS DIRETAMENTE PELA OFICINA DE JIU-JITSU</t>
  </si>
  <si>
    <t>NÚMERO DE PESSOAS BENEFICIADAS INDIRETAMENTE PELAS OFICINAS DE JIU-JITSU</t>
  </si>
  <si>
    <t>NUMERO DE KIT BEBE - ENXOVAL - DOADOS</t>
  </si>
  <si>
    <t>Rodas de conversa com gestantes (bimestral)</t>
  </si>
  <si>
    <t>Total de gestantates atendidas nas rodas de conversa e que receberam o Kit Bebê</t>
  </si>
  <si>
    <t>Total de pessoas beneficiadas INDIRETAMENTE pelas ações com as gestantes</t>
  </si>
  <si>
    <t>quantidade de visitas domiciliares realizadas durante o ano</t>
  </si>
  <si>
    <t>Número de emprestimos de Ortese e Prótese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</si>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</sst>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CFC2-0F2E-40B6-B372-4A8453C9760D}">
  <dimension ref="G2:H49"/>
  <sheetViews>
    <sheetView tabSelected="1" workbookViewId="0">
      <selection activeCell="G2" sqref="G2:H49"/>
    </sheetView>
  </sheetViews>
  <sheetFormatPr defaultRowHeight="15" x14ac:dyDescent="0.25"/>
  <cols>
    <col min="7" max="7" width="86.81640625" customWidth="1"/>
    <col min="8" max="8" width="21.54296875" customWidth="1"/>
  </cols>
  <sheetData>
    <row r="2" spans="7:8" ht="25.8" x14ac:dyDescent="0.25">
      <c r="G2" s="24" t="s">
        <v>0</v>
      </c>
      <c r="H2" s="25"/>
    </row>
    <row r="3" spans="7:8" ht="15.6" x14ac:dyDescent="0.3">
      <c r="H3" s="1"/>
    </row>
    <row r="4" spans="7:8" ht="15.6" x14ac:dyDescent="0.3">
      <c r="G4" s="2" t="s">
        <v>1</v>
      </c>
      <c r="H4" s="3">
        <f>H10+H29+H26+H35+H44+H38</f>
        <v>1028</v>
      </c>
    </row>
    <row r="5" spans="7:8" ht="15.6" x14ac:dyDescent="0.3">
      <c r="G5" s="2" t="s">
        <v>2</v>
      </c>
      <c r="H5" s="3">
        <f>H11+H27+H28+(H35*4)+H40+H45</f>
        <v>3321</v>
      </c>
    </row>
    <row r="6" spans="7:8" ht="15.6" x14ac:dyDescent="0.3">
      <c r="G6" s="2" t="s">
        <v>3</v>
      </c>
      <c r="H6" s="3">
        <f>H4</f>
        <v>1028</v>
      </c>
    </row>
    <row r="7" spans="7:8" ht="15.6" x14ac:dyDescent="0.3">
      <c r="G7" s="2" t="s">
        <v>4</v>
      </c>
      <c r="H7" s="4">
        <v>9</v>
      </c>
    </row>
    <row r="8" spans="7:8" ht="15.6" x14ac:dyDescent="0.3">
      <c r="G8" s="2" t="s">
        <v>5</v>
      </c>
      <c r="H8" s="4">
        <f>H33</f>
        <v>30</v>
      </c>
    </row>
    <row r="9" spans="7:8" ht="15.6" x14ac:dyDescent="0.3">
      <c r="G9" s="5"/>
      <c r="H9" s="6"/>
    </row>
    <row r="10" spans="7:8" ht="15.6" x14ac:dyDescent="0.3">
      <c r="G10" s="7" t="s">
        <v>6</v>
      </c>
      <c r="H10" s="8">
        <v>99</v>
      </c>
    </row>
    <row r="11" spans="7:8" ht="15.6" x14ac:dyDescent="0.3">
      <c r="G11" s="7" t="s">
        <v>7</v>
      </c>
      <c r="H11" s="8">
        <f>H10*3</f>
        <v>297</v>
      </c>
    </row>
    <row r="12" spans="7:8" ht="15.6" x14ac:dyDescent="0.3">
      <c r="G12" s="7" t="s">
        <v>8</v>
      </c>
      <c r="H12" s="9">
        <v>99</v>
      </c>
    </row>
    <row r="13" spans="7:8" ht="15.6" x14ac:dyDescent="0.3">
      <c r="G13" s="7" t="s">
        <v>9</v>
      </c>
      <c r="H13" s="9">
        <v>52</v>
      </c>
    </row>
    <row r="14" spans="7:8" ht="15.6" x14ac:dyDescent="0.3">
      <c r="G14" s="7" t="s">
        <v>10</v>
      </c>
      <c r="H14" s="9">
        <v>47</v>
      </c>
    </row>
    <row r="15" spans="7:8" ht="15.6" x14ac:dyDescent="0.3">
      <c r="G15" s="7" t="s">
        <v>11</v>
      </c>
      <c r="H15" s="9">
        <v>10</v>
      </c>
    </row>
    <row r="16" spans="7:8" ht="15.6" x14ac:dyDescent="0.3">
      <c r="G16" s="7" t="s">
        <v>12</v>
      </c>
      <c r="H16" s="9">
        <v>3</v>
      </c>
    </row>
    <row r="17" spans="7:8" ht="15.6" x14ac:dyDescent="0.3">
      <c r="G17" s="7" t="s">
        <v>13</v>
      </c>
      <c r="H17" s="9">
        <v>1032</v>
      </c>
    </row>
    <row r="18" spans="7:8" ht="15.6" x14ac:dyDescent="0.3">
      <c r="G18" s="7" t="s">
        <v>14</v>
      </c>
      <c r="H18" s="9">
        <v>147</v>
      </c>
    </row>
    <row r="19" spans="7:8" ht="15.6" x14ac:dyDescent="0.3">
      <c r="G19" s="7" t="s">
        <v>15</v>
      </c>
      <c r="H19" s="9">
        <v>66</v>
      </c>
    </row>
    <row r="20" spans="7:8" ht="15.6" x14ac:dyDescent="0.3">
      <c r="G20" s="7" t="s">
        <v>16</v>
      </c>
      <c r="H20" s="8">
        <f>H17+H18+H19</f>
        <v>1245</v>
      </c>
    </row>
    <row r="21" spans="7:8" ht="15.6" x14ac:dyDescent="0.3">
      <c r="G21" s="7" t="s">
        <v>17</v>
      </c>
      <c r="H21" s="8">
        <f>H10+H26+H35</f>
        <v>907</v>
      </c>
    </row>
    <row r="22" spans="7:8" ht="15.6" x14ac:dyDescent="0.3">
      <c r="G22" s="5"/>
      <c r="H22" s="6"/>
    </row>
    <row r="23" spans="7:8" ht="15.6" x14ac:dyDescent="0.3">
      <c r="G23" s="10" t="s">
        <v>18</v>
      </c>
      <c r="H23" s="11">
        <f>100+100+100+100+100+100+100+100+70+110+70+110+150</f>
        <v>1310</v>
      </c>
    </row>
    <row r="24" spans="7:8" ht="15.6" x14ac:dyDescent="0.3">
      <c r="G24" s="10" t="s">
        <v>19</v>
      </c>
      <c r="H24" s="11">
        <f>H23*15</f>
        <v>19650</v>
      </c>
    </row>
    <row r="25" spans="7:8" ht="15.6" x14ac:dyDescent="0.3">
      <c r="G25" s="10" t="s">
        <v>20</v>
      </c>
      <c r="H25" s="12">
        <v>559</v>
      </c>
    </row>
    <row r="26" spans="7:8" ht="15.6" x14ac:dyDescent="0.3">
      <c r="G26" s="10" t="s">
        <v>21</v>
      </c>
      <c r="H26" s="12">
        <f>H23-H25</f>
        <v>751</v>
      </c>
    </row>
    <row r="27" spans="7:8" ht="15.6" x14ac:dyDescent="0.3">
      <c r="G27" s="10" t="s">
        <v>22</v>
      </c>
      <c r="H27" s="12">
        <f>H26*3</f>
        <v>2253</v>
      </c>
    </row>
    <row r="28" spans="7:8" ht="15.6" x14ac:dyDescent="0.3">
      <c r="G28" s="10" t="s">
        <v>23</v>
      </c>
      <c r="H28" s="12">
        <v>210</v>
      </c>
    </row>
    <row r="29" spans="7:8" ht="15.6" x14ac:dyDescent="0.3">
      <c r="G29" s="10" t="s">
        <v>24</v>
      </c>
      <c r="H29" s="12">
        <v>10</v>
      </c>
    </row>
    <row r="30" spans="7:8" ht="15.6" x14ac:dyDescent="0.3">
      <c r="H30" s="1"/>
    </row>
    <row r="31" spans="7:8" ht="15.6" x14ac:dyDescent="0.3">
      <c r="G31" s="13" t="s">
        <v>25</v>
      </c>
      <c r="H31" s="14">
        <v>13</v>
      </c>
    </row>
    <row r="32" spans="7:8" ht="15.6" x14ac:dyDescent="0.3">
      <c r="G32" s="13" t="s">
        <v>26</v>
      </c>
      <c r="H32" s="14">
        <v>17</v>
      </c>
    </row>
    <row r="33" spans="7:8" ht="15.6" x14ac:dyDescent="0.3">
      <c r="G33" s="13" t="s">
        <v>5</v>
      </c>
      <c r="H33" s="15">
        <f>H31+H32</f>
        <v>30</v>
      </c>
    </row>
    <row r="35" spans="7:8" ht="15.6" x14ac:dyDescent="0.3">
      <c r="G35" s="16" t="s">
        <v>27</v>
      </c>
      <c r="H35" s="17">
        <v>57</v>
      </c>
    </row>
    <row r="36" spans="7:8" ht="15.6" x14ac:dyDescent="0.3">
      <c r="G36" s="16" t="s">
        <v>28</v>
      </c>
      <c r="H36" s="18">
        <v>2208</v>
      </c>
    </row>
    <row r="37" spans="7:8" ht="15.6" x14ac:dyDescent="0.3">
      <c r="H37" s="1"/>
    </row>
    <row r="38" spans="7:8" ht="15.6" x14ac:dyDescent="0.3">
      <c r="G38" s="5" t="s">
        <v>29</v>
      </c>
      <c r="H38" s="19">
        <f>40+37</f>
        <v>77</v>
      </c>
    </row>
    <row r="39" spans="7:8" ht="15.6" x14ac:dyDescent="0.3">
      <c r="G39" s="5" t="s">
        <v>30</v>
      </c>
      <c r="H39" s="19">
        <f>H38</f>
        <v>77</v>
      </c>
    </row>
    <row r="40" spans="7:8" ht="15.6" x14ac:dyDescent="0.3">
      <c r="G40" s="5" t="s">
        <v>31</v>
      </c>
      <c r="H40" s="6">
        <f>H39*3</f>
        <v>231</v>
      </c>
    </row>
    <row r="42" spans="7:8" ht="15.6" x14ac:dyDescent="0.3">
      <c r="G42" s="10" t="s">
        <v>32</v>
      </c>
      <c r="H42" s="12">
        <v>36</v>
      </c>
    </row>
    <row r="43" spans="7:8" ht="15.6" x14ac:dyDescent="0.3">
      <c r="G43" s="10" t="s">
        <v>33</v>
      </c>
      <c r="H43" s="12">
        <v>4</v>
      </c>
    </row>
    <row r="44" spans="7:8" ht="15.6" x14ac:dyDescent="0.3">
      <c r="G44" s="10" t="s">
        <v>34</v>
      </c>
      <c r="H44" s="12">
        <f>8+9+8+9</f>
        <v>34</v>
      </c>
    </row>
    <row r="45" spans="7:8" ht="15.6" x14ac:dyDescent="0.3">
      <c r="G45" s="10" t="s">
        <v>35</v>
      </c>
      <c r="H45" s="12">
        <f>H44*3</f>
        <v>102</v>
      </c>
    </row>
    <row r="46" spans="7:8" ht="15.6" x14ac:dyDescent="0.3">
      <c r="H46" s="1"/>
    </row>
    <row r="47" spans="7:8" ht="15.6" x14ac:dyDescent="0.3">
      <c r="G47" s="20" t="s">
        <v>36</v>
      </c>
      <c r="H47" s="21">
        <v>10</v>
      </c>
    </row>
    <row r="48" spans="7:8" ht="15.6" x14ac:dyDescent="0.3">
      <c r="H48" s="1"/>
    </row>
    <row r="49" spans="7:8" ht="15.6" x14ac:dyDescent="0.3">
      <c r="G49" s="22" t="s">
        <v>37</v>
      </c>
      <c r="H49" s="23" t="s">
        <v>38</v>
      </c>
    </row>
  </sheetData>
  <mergeCells count="1">
    <mergeCell ref="G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alexsandro silva</dc:creator>
  <cp:lastModifiedBy>alexsandro silva</cp:lastModifiedBy>
  <dcterms:created xsi:type="dcterms:W3CDTF">2026-03-30T15:49:30Z</dcterms:created>
  <dcterms:modified xsi:type="dcterms:W3CDTF">2026-03-30T15:52:56Z</dcterms:modified>
</cp:coreProperties>
</file>