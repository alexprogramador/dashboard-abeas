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d\OneDrive\Desktop\"/>
    </mc:Choice>
  </mc:AlternateContent>
  <xr:revisionPtr revIDLastSave="0" documentId="8_{A4D845B4-8848-4D1D-A034-BFD8DA60AAD8}" xr6:coauthVersionLast="47" xr6:coauthVersionMax="47" xr10:uidLastSave="{00000000-0000-0000-0000-000000000000}"/>
  <bookViews>
    <workbookView xWindow="-108" yWindow="-108" windowWidth="23256" windowHeight="12456" xr2:uid="{9D82B91E-C799-450D-85B9-AF6FA01CB40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E29" i="1"/>
  <c r="E24" i="1"/>
  <c r="E18" i="1"/>
  <c r="E17" i="1"/>
  <c r="E14" i="1"/>
  <c r="E13" i="1"/>
  <c r="E8" i="1"/>
  <c r="E3" i="1"/>
</calcChain>
</file>

<file path=xl/sharedStrings.xml><?xml version="1.0" encoding="utf-8"?>
<sst xmlns="http://schemas.openxmlformats.org/spreadsheetml/2006/main" count="34" uniqueCount="34">
  <si>
    <t>METAS - 2026 - SITE</t>
  </si>
  <si>
    <t>META/2026</t>
  </si>
  <si>
    <t>TOTAL DE PESSOAS IMPACTADAS DIRETAMENTE PELA ABEAS</t>
  </si>
  <si>
    <t xml:space="preserve">PESSOAS IMPACTADAS INDIRETAMENTE </t>
  </si>
  <si>
    <t xml:space="preserve">FAMILIAS BENEFICIADAS DIRETAMENTE </t>
  </si>
  <si>
    <t>VOLUNTÁRIOS</t>
  </si>
  <si>
    <t xml:space="preserve">Total de pessoas atendidas DIRETAMENTE no ano (SCFV) </t>
  </si>
  <si>
    <t>Total de pessoas atendidas INDIRETAMENTE no ano (SCFV)</t>
  </si>
  <si>
    <t>Número de famílias atendidas pelo SCFV</t>
  </si>
  <si>
    <t>IDOSOS ATENDIDOS PELO SCFV</t>
  </si>
  <si>
    <t>ADULTOS de 18 a 59 anos atendidos no SCFV</t>
  </si>
  <si>
    <t>CRIANÇAS E ADOLESCENTES NA OFICINA DE JIU-JITSU</t>
  </si>
  <si>
    <t>GESTANTES</t>
  </si>
  <si>
    <t>NÚMERO DE CESTAS BÁSICAS CONCEDIDAS OS BENEFICIÁRIOS DA ASSISTÊNCIA SOCIAL  (15 KG)</t>
  </si>
  <si>
    <t>KILOS DE ALIMENTOS DOADOS</t>
  </si>
  <si>
    <t>CONCESSÃO DE CESTAS BÁSICAS PARA ONGS PARCEIRA</t>
  </si>
  <si>
    <t>CONCESSÃO DE CESTAS BÁSICAS PARA FAMILIAS</t>
  </si>
  <si>
    <t>NUMERO DE PESSOAS DAS FAMILIAS BENEFICIADAS INDIRETAMENTE PELAS CONCESSÕES DAS CESTAS BASICAS</t>
  </si>
  <si>
    <t>INSTITUIÇÕES PARCEIRAS BENEFICIADAS</t>
  </si>
  <si>
    <t>NÚMERO DE VISITAS DOMICILIARES</t>
  </si>
  <si>
    <t>NÚMERO DE VISITAS TÉCNIAS AS INSTITUIÇÕES PARCEIRAS E DA REDE</t>
  </si>
  <si>
    <t>NÚMERO DE VOLUNTÁRIOS DA PSICOLOGIA E PSICANALISTA</t>
  </si>
  <si>
    <t>NÚMERO DE VOLUNTÁRIOS ATUANDO NO SCFV</t>
  </si>
  <si>
    <t>TOTAL DE VOLUNTÁRIOS</t>
  </si>
  <si>
    <t>NÚMERO DE PESSOAS ATENDIDAS PSICOLÓGICOS E PSICANÁLISE</t>
  </si>
  <si>
    <t>NÚMERO DE ATENDIMENTOS PSICOLÓGICOS E PSICANÁLISE</t>
  </si>
  <si>
    <t>NÚMERO DE FAMILIAS DE CRIANÇAS/ADOLESCENTES IMPACTADAS DIRETAMENTE PELA OFICINA DE JIU-JITSU</t>
  </si>
  <si>
    <t>NÚMERO DE PESSOAS BENEFICIADAS INDIRETAMENTE PELAS OFICINAS DE JIU-JITSU</t>
  </si>
  <si>
    <t>Número de oficinas (SCFV) realizadas durante o ano</t>
  </si>
  <si>
    <t>Número de grupos de SCFV realizados durante o ano</t>
  </si>
  <si>
    <t>Número de horas de oficinas (SCFV) realizadas durante o ano</t>
  </si>
  <si>
    <t>NÚMERO de horas de atividades dos GRUPOS (SCFV) realizados durante o ano</t>
  </si>
  <si>
    <t>NÚMERO DE HORAS DE ATIVIDADES EXTRAS REALIZADAS DURANTE O ANO (PASSEIOS, CINEMA, CULINARIA E OUTRAS)</t>
  </si>
  <si>
    <t>NÚMERO DE ATENDIMENTOS PSICOSSOCIAL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</si>
</sst>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sz val="2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3" borderId="1" xfId="0" applyFont="1" applyFill="1" applyBorder="1"/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77765-4BA5-45EF-8EE2-729221F46B93}">
  <dimension ref="C1:E37"/>
  <sheetViews>
    <sheetView tabSelected="1" workbookViewId="0">
      <selection activeCell="D2" sqref="D2"/>
    </sheetView>
  </sheetViews>
  <sheetFormatPr defaultRowHeight="15" x14ac:dyDescent="0.25"/>
  <cols>
    <col min="2" max="2" width="3.81640625" customWidth="1"/>
    <col min="3" max="3" width="8.7265625" hidden="1" customWidth="1"/>
    <col min="4" max="4" width="80.90625" customWidth="1"/>
    <col min="5" max="5" width="69.6328125" customWidth="1"/>
  </cols>
  <sheetData>
    <row r="1" spans="4:5" ht="25.8" x14ac:dyDescent="0.5">
      <c r="D1" s="1" t="s">
        <v>0</v>
      </c>
      <c r="E1" s="2"/>
    </row>
    <row r="2" spans="4:5" ht="15.6" x14ac:dyDescent="0.3">
      <c r="D2" s="3"/>
      <c r="E2" s="4" t="s">
        <v>1</v>
      </c>
    </row>
    <row r="3" spans="4:5" ht="15.6" x14ac:dyDescent="0.3">
      <c r="D3" s="5" t="s">
        <v>2</v>
      </c>
      <c r="E3" s="4">
        <f>E7+E19+E17+E26+E13+E12</f>
        <v>1051</v>
      </c>
    </row>
    <row r="4" spans="4:5" ht="15.6" x14ac:dyDescent="0.3">
      <c r="D4" s="5" t="s">
        <v>3</v>
      </c>
      <c r="E4" s="4">
        <v>3000</v>
      </c>
    </row>
    <row r="5" spans="4:5" ht="15.6" x14ac:dyDescent="0.3">
      <c r="D5" s="5" t="s">
        <v>4</v>
      </c>
      <c r="E5" s="4">
        <v>1000</v>
      </c>
    </row>
    <row r="6" spans="4:5" ht="15.6" x14ac:dyDescent="0.3">
      <c r="D6" s="5" t="s">
        <v>5</v>
      </c>
      <c r="E6" s="4">
        <v>100</v>
      </c>
    </row>
    <row r="7" spans="4:5" ht="15.6" x14ac:dyDescent="0.3">
      <c r="D7" s="5" t="s">
        <v>6</v>
      </c>
      <c r="E7" s="4">
        <v>99</v>
      </c>
    </row>
    <row r="8" spans="4:5" ht="15.6" x14ac:dyDescent="0.3">
      <c r="D8" s="5" t="s">
        <v>7</v>
      </c>
      <c r="E8" s="4">
        <f>E7*3</f>
        <v>297</v>
      </c>
    </row>
    <row r="9" spans="4:5" ht="15.6" x14ac:dyDescent="0.3">
      <c r="D9" s="5" t="s">
        <v>8</v>
      </c>
      <c r="E9" s="4">
        <v>99</v>
      </c>
    </row>
    <row r="10" spans="4:5" ht="15.6" x14ac:dyDescent="0.3">
      <c r="D10" s="5" t="s">
        <v>9</v>
      </c>
      <c r="E10" s="4">
        <v>90</v>
      </c>
    </row>
    <row r="11" spans="4:5" ht="15.6" x14ac:dyDescent="0.3">
      <c r="D11" s="5" t="s">
        <v>10</v>
      </c>
      <c r="E11" s="4">
        <v>30</v>
      </c>
    </row>
    <row r="12" spans="4:5" ht="15.6" x14ac:dyDescent="0.3">
      <c r="D12" s="5" t="s">
        <v>11</v>
      </c>
      <c r="E12" s="4">
        <v>100</v>
      </c>
    </row>
    <row r="13" spans="4:5" ht="15.6" x14ac:dyDescent="0.3">
      <c r="D13" s="5" t="s">
        <v>12</v>
      </c>
      <c r="E13" s="4">
        <f>8+9+8+9</f>
        <v>34</v>
      </c>
    </row>
    <row r="14" spans="4:5" ht="15.6" x14ac:dyDescent="0.3">
      <c r="D14" s="5" t="s">
        <v>13</v>
      </c>
      <c r="E14" s="4">
        <f>100+100+100+100+100+100+100+100+70+110+70+110+150</f>
        <v>1310</v>
      </c>
    </row>
    <row r="15" spans="4:5" ht="15.6" x14ac:dyDescent="0.3">
      <c r="D15" s="5" t="s">
        <v>14</v>
      </c>
      <c r="E15" s="4">
        <v>20000</v>
      </c>
    </row>
    <row r="16" spans="4:5" ht="15.6" x14ac:dyDescent="0.3">
      <c r="D16" s="5" t="s">
        <v>15</v>
      </c>
      <c r="E16" s="4">
        <v>559</v>
      </c>
    </row>
    <row r="17" spans="4:5" ht="15.6" x14ac:dyDescent="0.3">
      <c r="D17" s="6" t="s">
        <v>16</v>
      </c>
      <c r="E17" s="7">
        <f>E14-E16</f>
        <v>751</v>
      </c>
    </row>
    <row r="18" spans="4:5" ht="15.6" x14ac:dyDescent="0.3">
      <c r="D18" s="5" t="s">
        <v>17</v>
      </c>
      <c r="E18" s="4">
        <f>E17*3</f>
        <v>2253</v>
      </c>
    </row>
    <row r="19" spans="4:5" ht="15.6" x14ac:dyDescent="0.3">
      <c r="D19" s="5" t="s">
        <v>18</v>
      </c>
      <c r="E19" s="4">
        <v>10</v>
      </c>
    </row>
    <row r="20" spans="4:5" ht="15.6" x14ac:dyDescent="0.3">
      <c r="D20" s="5" t="s">
        <v>19</v>
      </c>
      <c r="E20" s="4">
        <v>0</v>
      </c>
    </row>
    <row r="21" spans="4:5" ht="15.6" x14ac:dyDescent="0.3">
      <c r="D21" s="5" t="s">
        <v>20</v>
      </c>
      <c r="E21" s="4">
        <v>0</v>
      </c>
    </row>
    <row r="22" spans="4:5" ht="15.6" x14ac:dyDescent="0.3">
      <c r="D22" s="5" t="s">
        <v>21</v>
      </c>
      <c r="E22" s="4">
        <v>13</v>
      </c>
    </row>
    <row r="23" spans="4:5" ht="15.6" x14ac:dyDescent="0.3">
      <c r="D23" s="5" t="s">
        <v>22</v>
      </c>
      <c r="E23" s="4">
        <v>17</v>
      </c>
    </row>
    <row r="24" spans="4:5" ht="15.6" x14ac:dyDescent="0.3">
      <c r="D24" s="5" t="s">
        <v>23</v>
      </c>
      <c r="E24" s="4">
        <f>E22+E23</f>
        <v>30</v>
      </c>
    </row>
    <row r="25" spans="4:5" ht="15.6" x14ac:dyDescent="0.3">
      <c r="D25" s="5"/>
      <c r="E25" s="4"/>
    </row>
    <row r="26" spans="4:5" ht="15.6" x14ac:dyDescent="0.3">
      <c r="D26" s="5" t="s">
        <v>24</v>
      </c>
      <c r="E26" s="4">
        <v>57</v>
      </c>
    </row>
    <row r="27" spans="4:5" ht="15.6" x14ac:dyDescent="0.3">
      <c r="D27" s="5" t="s">
        <v>25</v>
      </c>
      <c r="E27" s="4">
        <v>2208</v>
      </c>
    </row>
    <row r="28" spans="4:5" ht="15.6" x14ac:dyDescent="0.3">
      <c r="D28" s="5"/>
      <c r="E28" s="4"/>
    </row>
    <row r="29" spans="4:5" ht="15.6" x14ac:dyDescent="0.3">
      <c r="D29" s="5" t="s">
        <v>26</v>
      </c>
      <c r="E29" s="4">
        <f>E12</f>
        <v>100</v>
      </c>
    </row>
    <row r="30" spans="4:5" ht="15.6" x14ac:dyDescent="0.3">
      <c r="D30" s="5" t="s">
        <v>27</v>
      </c>
      <c r="E30" s="4">
        <f>E29*3</f>
        <v>300</v>
      </c>
    </row>
    <row r="31" spans="4:5" ht="15.6" x14ac:dyDescent="0.3">
      <c r="D31" s="5"/>
      <c r="E31" s="4"/>
    </row>
    <row r="32" spans="4:5" ht="15.6" x14ac:dyDescent="0.3">
      <c r="D32" s="6" t="s">
        <v>28</v>
      </c>
      <c r="E32" s="7">
        <v>10</v>
      </c>
    </row>
    <row r="33" spans="4:5" ht="15.6" x14ac:dyDescent="0.3">
      <c r="D33" s="6" t="s">
        <v>29</v>
      </c>
      <c r="E33" s="7">
        <v>3</v>
      </c>
    </row>
    <row r="34" spans="4:5" ht="15.6" x14ac:dyDescent="0.3">
      <c r="D34" s="6" t="s">
        <v>30</v>
      </c>
      <c r="E34" s="7">
        <v>1032</v>
      </c>
    </row>
    <row r="35" spans="4:5" ht="15.6" x14ac:dyDescent="0.3">
      <c r="D35" s="5" t="s">
        <v>31</v>
      </c>
      <c r="E35" s="4">
        <v>147</v>
      </c>
    </row>
    <row r="36" spans="4:5" ht="15.6" x14ac:dyDescent="0.3">
      <c r="D36" s="6" t="s">
        <v>32</v>
      </c>
      <c r="E36" s="7">
        <v>66</v>
      </c>
    </row>
    <row r="37" spans="4:5" ht="15.6" x14ac:dyDescent="0.3">
      <c r="D37" s="5" t="s">
        <v>33</v>
      </c>
      <c r="E37" s="4">
        <v>2000</v>
      </c>
    </row>
  </sheetData>
  <mergeCells count="1">
    <mergeCell ref="D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alexsandro silva</dc:creator>
  <cp:lastModifiedBy>alexsandro silva</cp:lastModifiedBy>
  <dcterms:created xsi:type="dcterms:W3CDTF">2026-03-30T15:45:51Z</dcterms:created>
  <dcterms:modified xsi:type="dcterms:W3CDTF">2026-03-30T15:48:59Z</dcterms:modified>
</cp:coreProperties>
</file>